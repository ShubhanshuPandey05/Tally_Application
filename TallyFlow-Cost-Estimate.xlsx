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Sizing model" sheetId="3" state="visible" r:id="rId3"/>
    <sheet name="Monthly cost" sheetId="4" state="visible" r:id="rId4"/>
    <sheet name="Annual &amp; one-time" sheetId="5" state="visible" r:id="rId5"/>
  </sheets>
  <definedNames/>
  <calcPr calcId="124519" fullCalcOnLoad="1"/>
</workbook>
</file>

<file path=xl/styles.xml><?xml version="1.0" encoding="utf-8"?>
<styleSheet xmlns="http://schemas.openxmlformats.org/spreadsheetml/2006/main">
  <numFmts count="7">
    <numFmt numFmtId="164" formatCode="#,##0.0"/>
    <numFmt numFmtId="165" formatCode="#,##0&quot; MB&quot;"/>
    <numFmt numFmtId="166" formatCode="#,##0.0&quot; GB&quot;"/>
    <numFmt numFmtId="167" formatCode="&quot;€&quot;#,##0.00"/>
    <numFmt numFmtId="168" formatCode="&quot;₹&quot;#,##0"/>
    <numFmt numFmtId="169" formatCode="&quot;$&quot;#,##0.00"/>
    <numFmt numFmtId="170" formatCode="&quot;₹&quot;#,##0.00"/>
  </numFmts>
  <fonts count="6">
    <font>
      <name val="Calibri"/>
      <family val="2"/>
      <color theme="1"/>
      <sz val="11"/>
      <scheme val="minor"/>
    </font>
    <font>
      <name val="Calibri"/>
      <b val="1"/>
      <color rgb="001F2933"/>
      <sz val="15"/>
    </font>
    <font>
      <name val="Calibri"/>
      <i val="1"/>
      <color rgb="006B7280"/>
      <sz val="9"/>
    </font>
    <font>
      <name val="Calibri"/>
      <b val="1"/>
      <color rgb="00FFFFFF"/>
      <sz val="11"/>
    </font>
    <font>
      <name val="Calibri"/>
      <color rgb="001F2933"/>
      <sz val="10"/>
    </font>
    <font>
      <name val="Calibri"/>
      <b val="1"/>
      <color rgb="001F2933"/>
      <sz val="10"/>
    </font>
  </fonts>
  <fills count="5">
    <fill>
      <patternFill/>
    </fill>
    <fill>
      <patternFill patternType="gray125"/>
    </fill>
    <fill>
      <patternFill patternType="solid">
        <fgColor rgb="001F2933"/>
      </patternFill>
    </fill>
    <fill>
      <patternFill patternType="solid">
        <fgColor rgb="00FFF6DC"/>
      </patternFill>
    </fill>
    <fill>
      <patternFill patternType="solid">
        <fgColor rgb="00E8EEF4"/>
      </patternFill>
    </fill>
  </fills>
  <borders count="2">
    <border>
      <left/>
      <right/>
      <top/>
      <bottom/>
      <diagonal/>
    </border>
    <border>
      <left style="thin">
        <color rgb="00D5DAE0"/>
      </left>
      <right style="thin">
        <color rgb="00D5DAE0"/>
      </right>
      <top style="thin">
        <color rgb="00D5DAE0"/>
      </top>
      <bottom style="thin">
        <color rgb="00D5DAE0"/>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3" fillId="2" borderId="1" applyAlignment="1" pivotButton="0" quotePrefix="0" xfId="0">
      <alignment horizontal="right" vertical="center"/>
    </xf>
    <xf numFmtId="0" fontId="4" fillId="0" borderId="1" pivotButton="0" quotePrefix="0" xfId="0"/>
    <xf numFmtId="168" fontId="4" fillId="0" borderId="1" applyAlignment="1" pivotButton="0" quotePrefix="0" xfId="0">
      <alignment horizontal="right"/>
    </xf>
    <xf numFmtId="170" fontId="4" fillId="0" borderId="1" applyAlignment="1" pivotButton="0" quotePrefix="0" xfId="0">
      <alignment horizontal="right"/>
    </xf>
    <xf numFmtId="0" fontId="4" fillId="0" borderId="1" applyAlignment="1" pivotButton="0" quotePrefix="0" xfId="0">
      <alignment horizontal="right"/>
    </xf>
    <xf numFmtId="0" fontId="2" fillId="0" borderId="1" applyAlignment="1" pivotButton="0" quotePrefix="0" xfId="0">
      <alignment horizontal="left" wrapText="1"/>
    </xf>
    <xf numFmtId="0" fontId="5" fillId="4" borderId="1" pivotButton="0" quotePrefix="0" xfId="0"/>
    <xf numFmtId="168" fontId="5" fillId="4" borderId="1" applyAlignment="1" pivotButton="0" quotePrefix="0" xfId="0">
      <alignment horizontal="right"/>
    </xf>
    <xf numFmtId="170" fontId="5" fillId="4" borderId="1" applyAlignment="1" pivotButton="0" quotePrefix="0" xfId="0">
      <alignment horizontal="right"/>
    </xf>
    <xf numFmtId="0" fontId="5" fillId="4" borderId="1" applyAlignment="1" pivotButton="0" quotePrefix="0" xfId="0">
      <alignment horizontal="right"/>
    </xf>
    <xf numFmtId="0" fontId="2" fillId="4" borderId="1" applyAlignment="1" pivotButton="0" quotePrefix="0" xfId="0">
      <alignment horizontal="left" wrapText="1"/>
    </xf>
    <xf numFmtId="3" fontId="4" fillId="0" borderId="1" applyAlignment="1" pivotButton="0" quotePrefix="0" xfId="0">
      <alignment horizontal="right"/>
    </xf>
    <xf numFmtId="0" fontId="5"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3" fontId="5" fillId="3" borderId="1" applyAlignment="1" pivotButton="0" quotePrefix="0" xfId="0">
      <alignment horizontal="right"/>
    </xf>
    <xf numFmtId="9" fontId="5" fillId="3" borderId="1" applyAlignment="1" pivotButton="0" quotePrefix="0" xfId="0">
      <alignment horizontal="right"/>
    </xf>
    <xf numFmtId="164" fontId="5" fillId="3" borderId="1" applyAlignment="1" pivotButton="0" quotePrefix="0" xfId="0">
      <alignment horizontal="right"/>
    </xf>
    <xf numFmtId="164" fontId="5" fillId="0" borderId="1" applyAlignment="1" pivotButton="0" quotePrefix="0" xfId="0">
      <alignment horizontal="right"/>
    </xf>
    <xf numFmtId="3" fontId="5" fillId="0" borderId="1" applyAlignment="1" pivotButton="0" quotePrefix="0" xfId="0">
      <alignment horizontal="right"/>
    </xf>
    <xf numFmtId="9" fontId="5" fillId="0" borderId="1" applyAlignment="1" pivotButton="0" quotePrefix="0" xfId="0">
      <alignment horizontal="right"/>
    </xf>
    <xf numFmtId="165" fontId="4" fillId="0" borderId="1" applyAlignment="1" pivotButton="0" quotePrefix="0" xfId="0">
      <alignment horizontal="right"/>
    </xf>
    <xf numFmtId="165" fontId="5" fillId="4" borderId="1" applyAlignment="1" pivotButton="0" quotePrefix="0" xfId="0">
      <alignment horizontal="right"/>
    </xf>
    <xf numFmtId="4" fontId="4" fillId="0" borderId="1" applyAlignment="1" pivotButton="0" quotePrefix="0" xfId="0">
      <alignment horizontal="right"/>
    </xf>
    <xf numFmtId="166" fontId="5" fillId="4" borderId="1" applyAlignment="1" pivotButton="0" quotePrefix="0" xfId="0">
      <alignment horizontal="right"/>
    </xf>
    <xf numFmtId="166" fontId="4" fillId="0" borderId="1" applyAlignment="1" pivotButton="0" quotePrefix="0" xfId="0">
      <alignment horizontal="right"/>
    </xf>
    <xf numFmtId="167" fontId="4" fillId="0" borderId="1" applyAlignment="1" pivotButton="0" quotePrefix="0" xfId="0">
      <alignment horizontal="right"/>
    </xf>
    <xf numFmtId="167" fontId="5" fillId="4" borderId="1" applyAlignment="1" pivotButton="0" quotePrefix="0" xfId="0">
      <alignment horizontal="right"/>
    </xf>
    <xf numFmtId="169" fontId="4" fillId="0" borderId="1" applyAlignment="1" pivotButton="0" quotePrefix="0" xfId="0">
      <alignment horizontal="right"/>
    </xf>
    <xf numFmtId="0" fontId="5" fillId="0" borderId="1" pivotButton="0" quotePrefix="0" xfId="0"/>
    <xf numFmtId="169" fontId="5" fillId="0" borderId="1" applyAlignment="1" pivotButton="0" quotePrefix="0" xfId="0">
      <alignment horizontal="right"/>
    </xf>
    <xf numFmtId="0" fontId="5" fillId="0" borderId="1" applyAlignment="1" pivotButton="0" quotePrefix="0" xfId="0">
      <alignment horizontal="right"/>
    </xf>
    <xf numFmtId="169" fontId="5" fillId="4" borderId="1" applyAlignment="1" pivotButton="0" quotePrefix="0" xfId="0">
      <alignment horizontal="right"/>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showGridLines="0" workbookViewId="0">
      <pane ySplit="3" topLeftCell="A4" activePane="bottomLeft" state="frozen"/>
      <selection pane="bottomLeft" activeCell="A1" sqref="A1"/>
    </sheetView>
  </sheetViews>
  <sheetFormatPr baseColWidth="8" defaultRowHeight="15"/>
  <cols>
    <col width="34" customWidth="1" min="1" max="1"/>
    <col width="18" customWidth="1" min="2" max="2"/>
    <col width="16" customWidth="1" min="3" max="3"/>
    <col width="18" customWidth="1" min="4" max="4"/>
    <col width="50" customWidth="1" min="5" max="5"/>
  </cols>
  <sheetData>
    <row r="1" ht="22" customHeight="1">
      <c r="A1" s="1" t="inlineStr">
        <is>
          <t>TallyFlow - cost to run, per month</t>
        </is>
      </c>
    </row>
    <row r="2">
      <c r="A2" s="2" t="inlineStr">
        <is>
          <t>Every figure is a formula. Change the Assumptions sheet and this updates.</t>
        </is>
      </c>
    </row>
    <row r="4" ht="20" customHeight="1">
      <c r="A4" s="3" t="inlineStr">
        <is>
          <t>Option</t>
        </is>
      </c>
      <c r="B4" s="4" t="inlineStr">
        <is>
          <t>Per month (INR)</t>
        </is>
      </c>
      <c r="C4" s="4" t="inlineStr">
        <is>
          <t>Per customer</t>
        </is>
      </c>
      <c r="D4" s="4" t="inlineStr">
        <is>
          <t>Ceiling</t>
        </is>
      </c>
      <c r="E4" s="4" t="inlineStr">
        <is>
          <t>When to pick it</t>
        </is>
      </c>
    </row>
    <row r="5">
      <c r="A5" s="5" t="inlineStr">
        <is>
          <t>A - Hetzner single box</t>
        </is>
      </c>
      <c r="B5" s="6">
        <f>'Monthly cost'!C12+'Annual &amp; one-time'!C11</f>
        <v/>
      </c>
      <c r="C5" s="7">
        <f>B5/Assumptions!$B$8</f>
        <v/>
      </c>
      <c r="D5" s="8" t="inlineStr">
        <is>
          <t>~250 companies</t>
        </is>
      </c>
      <c r="E5" s="9" t="inlineStr">
        <is>
          <t>Pilot and first paying customers. Runs your existing compose file unchanged.</t>
        </is>
      </c>
    </row>
    <row r="6">
      <c r="A6" s="10" t="inlineStr">
        <is>
          <t>B - DigitalOcean Bangalore</t>
        </is>
      </c>
      <c r="B6" s="11">
        <f>'Monthly cost'!C25+'Annual &amp; one-time'!C11</f>
        <v/>
      </c>
      <c r="C6" s="12">
        <f>B6/Assumptions!$B$8</f>
        <v/>
      </c>
      <c r="D6" s="13" t="inlineStr">
        <is>
          <t>~500 companies</t>
        </is>
      </c>
      <c r="E6" s="14" t="inlineStr">
        <is>
          <t>Production. Managed Postgres with automated backups, India region, no database ops.</t>
        </is>
      </c>
    </row>
    <row r="7">
      <c r="A7" s="5" t="inlineStr">
        <is>
          <t>C - AWS Mumbai (low)</t>
        </is>
      </c>
      <c r="B7" s="6">
        <f>'Monthly cost'!B36+'Annual &amp; one-time'!C11</f>
        <v/>
      </c>
      <c r="C7" s="7">
        <f>B7/Assumptions!$B$8</f>
        <v/>
      </c>
      <c r="D7" s="8" t="inlineStr">
        <is>
          <t>elastic</t>
        </is>
      </c>
      <c r="E7" s="9" t="inlineStr">
        <is>
          <t>Only if a customer contractually demands AWS or an enterprise audit trail.</t>
        </is>
      </c>
    </row>
    <row r="8">
      <c r="A8" s="5" t="inlineStr">
        <is>
          <t>C - AWS Mumbai (high)</t>
        </is>
      </c>
      <c r="B8" s="6">
        <f>'Monthly cost'!C36+'Annual &amp; one-time'!C11</f>
        <v/>
      </c>
      <c r="C8" s="7">
        <f>B8/Assumptions!$B$8</f>
        <v/>
      </c>
      <c r="D8" s="8" t="inlineStr">
        <is>
          <t>elastic</t>
        </is>
      </c>
      <c r="E8" s="9" t="inlineStr"/>
    </row>
    <row r="10" ht="20" customHeight="1">
      <c r="A10" s="3" t="inlineStr">
        <is>
          <t>Option B at other scales</t>
        </is>
      </c>
      <c r="B10" s="4" t="inlineStr">
        <is>
          <t>Per month (INR)</t>
        </is>
      </c>
      <c r="C10" s="4" t="inlineStr">
        <is>
          <t>Per customer</t>
        </is>
      </c>
      <c r="D10" s="4" t="inlineStr">
        <is>
          <t>Orgs</t>
        </is>
      </c>
      <c r="E10" s="4" t="inlineStr">
        <is>
          <t>Note</t>
        </is>
      </c>
    </row>
    <row r="11">
      <c r="A11" s="5" t="inlineStr">
        <is>
          <t>Pilot</t>
        </is>
      </c>
      <c r="B11" s="6">
        <f>'Monthly cost'!B25+'Annual &amp; one-time'!C11</f>
        <v/>
      </c>
      <c r="C11" s="7">
        <f>B11/D11</f>
        <v/>
      </c>
      <c r="D11" s="15" t="n">
        <v>25</v>
      </c>
      <c r="E11" s="9" t="inlineStr">
        <is>
          <t>Where you are today</t>
        </is>
      </c>
    </row>
    <row r="12">
      <c r="A12" s="5" t="inlineStr">
        <is>
          <t>Growing</t>
        </is>
      </c>
      <c r="B12" s="6">
        <f>'Monthly cost'!C25+'Annual &amp; one-time'!C11</f>
        <v/>
      </c>
      <c r="C12" s="7">
        <f>B12/D12</f>
        <v/>
      </c>
      <c r="D12" s="15" t="n">
        <v>100</v>
      </c>
      <c r="E12" s="9" t="inlineStr">
        <is>
          <t>Second API container not needed yet</t>
        </is>
      </c>
    </row>
    <row r="13">
      <c r="A13" s="5" t="inlineStr">
        <is>
          <t>Scaled</t>
        </is>
      </c>
      <c r="B13" s="6">
        <f>'Monthly cost'!D25+'Annual &amp; one-time'!C11</f>
        <v/>
      </c>
      <c r="C13" s="7">
        <f>B13/D13</f>
        <v/>
      </c>
      <c r="D13" s="15" t="n">
        <v>500</v>
      </c>
      <c r="E13" s="9" t="inlineStr">
        <is>
          <t>Two API containers plus Redis</t>
        </is>
      </c>
    </row>
    <row r="16">
      <c r="A16" s="16" t="inlineStr">
        <is>
          <t>Recommendation</t>
        </is>
      </c>
    </row>
    <row r="17">
      <c r="A17" s="17" t="inlineStr">
        <is>
          <t>•  Start on Option A. It runs the exact stack already in deploy/uat and costs about as much per month as one lunch.</t>
        </is>
      </c>
    </row>
    <row r="18">
      <c r="A18" s="17" t="inlineStr">
        <is>
          <t>•  Move to Option B before taking money from customers you do not know personally. The managed database's automated backups are the reason, not the CPU.</t>
        </is>
      </c>
    </row>
    <row r="19">
      <c r="A19" s="17" t="inlineStr">
        <is>
          <t>•  Infrastructure is not what this product costs. Support time will dominate long before servers do.</t>
        </is>
      </c>
    </row>
    <row r="21">
      <c r="A21" s="16" t="inlineStr">
        <is>
          <t>Two findings in the code that change these numbers</t>
        </is>
      </c>
    </row>
    <row r="22">
      <c r="A22" s="16" t="inlineStr">
        <is>
          <t>audit_logs and job_stats are never pruned.</t>
        </is>
      </c>
    </row>
    <row r="23" ht="48" customHeight="1">
      <c r="A23" s="18" t="inlineStr">
        <is>
          <t>LogWriter._prune covers server_logs at 30 days and connector_logs at 14 days. Nothing deletes the other two. JobStat's own docstring says it is 'safe to aggressively prune' and no pruner exists. At the assumed scale that is roughly 15 GB a year of telemetry, and it is what pushes you into the next database tier before customer data does. A retention window on both is the highest-leverage cost fix available.</t>
        </is>
      </c>
    </row>
    <row r="25">
      <c r="A25" s="16" t="inlineStr">
        <is>
          <t>The second API instance is a step change, not a slope.</t>
        </is>
      </c>
    </row>
    <row r="26" ht="48" customHeight="1">
      <c r="A26" s="18" t="inlineStr">
        <is>
          <t>One uvicorn worker means one container. The moment you need two you also need TALLYFLOW_REDIS_URL and a managed Redis. Budget for it at roughly 250 companies - see the Sizing model sheet.</t>
        </is>
      </c>
    </row>
    <row r="28" ht="30" customHeight="1">
      <c r="A28" s="18" t="inlineStr">
        <is>
          <t>Prices verified August 2026 from digitalocean.com/pricing/managed-databases, digitalocean.com/pricing/droplets, and Hetzner Cloud list prices following the April 2026 increase. The AWS Mumbai figures are an indicative band, not a line-verified quote.</t>
        </is>
      </c>
    </row>
  </sheetData>
  <mergeCells count="10">
    <mergeCell ref="A26:E26"/>
    <mergeCell ref="A2:E2"/>
    <mergeCell ref="A25:E25"/>
    <mergeCell ref="A28:E28"/>
    <mergeCell ref="A19:E19"/>
    <mergeCell ref="A1:E1"/>
    <mergeCell ref="A23:E23"/>
    <mergeCell ref="A22:E22"/>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66" customWidth="1" min="3" max="3"/>
  </cols>
  <sheetData>
    <row r="1" ht="22" customHeight="1">
      <c r="A1" s="1" t="inlineStr">
        <is>
          <t>Assumptions</t>
        </is>
      </c>
    </row>
    <row r="2">
      <c r="A2" s="2" t="inlineStr">
        <is>
          <t>Yellow cells are inputs. Change them and every other sheet recalculates.</t>
        </is>
      </c>
    </row>
    <row r="4" ht="20" customHeight="1">
      <c r="A4" s="3" t="inlineStr">
        <is>
          <t>Input</t>
        </is>
      </c>
      <c r="B4" s="4" t="inlineStr">
        <is>
          <t>Value</t>
        </is>
      </c>
      <c r="C4" s="4" t="inlineStr">
        <is>
          <t>Basis</t>
        </is>
      </c>
    </row>
    <row r="5">
      <c r="A5" s="5" t="inlineStr">
        <is>
          <t>USD to INR</t>
        </is>
      </c>
      <c r="B5" s="19" t="n">
        <v>88</v>
      </c>
      <c r="C5" s="9" t="inlineStr">
        <is>
          <t>Set to today's rate before quoting this to anyone.</t>
        </is>
      </c>
    </row>
    <row r="6">
      <c r="A6" s="5" t="inlineStr">
        <is>
          <t>EUR to INR</t>
        </is>
      </c>
      <c r="B6" s="19" t="n">
        <v>95</v>
      </c>
      <c r="C6" s="9" t="inlineStr">
        <is>
          <t>Set to today's rate before quoting this to anyone.</t>
        </is>
      </c>
    </row>
    <row r="7">
      <c r="A7" s="5" t="inlineStr">
        <is>
          <t>GST on cloud services</t>
        </is>
      </c>
      <c r="B7" s="20" t="n">
        <v>0.18</v>
      </c>
      <c r="C7" s="9" t="inlineStr">
        <is>
          <t>Applies when billed to an Indian entity.</t>
        </is>
      </c>
    </row>
    <row r="8">
      <c r="A8" s="5" t="inlineStr">
        <is>
          <t>Customer organisations</t>
        </is>
      </c>
      <c r="B8" s="19" t="n">
        <v>100</v>
      </c>
      <c r="C8" s="9" t="inlineStr">
        <is>
          <t>The scale being costed.</t>
        </is>
      </c>
    </row>
    <row r="9">
      <c r="A9" s="5" t="inlineStr">
        <is>
          <t>Tally companies per org</t>
        </is>
      </c>
      <c r="B9" s="21" t="n">
        <v>1.5</v>
      </c>
      <c r="C9" s="9" t="inlineStr">
        <is>
          <t>Most shops run one; some run two or three.</t>
        </is>
      </c>
    </row>
    <row r="10">
      <c r="A10" s="5" t="inlineStr">
        <is>
          <t>Phone users per org</t>
        </is>
      </c>
      <c r="B10" s="19" t="n">
        <v>3</v>
      </c>
      <c r="C10" s="9" t="inlineStr">
        <is>
          <t>Owner plus staff.</t>
        </is>
      </c>
    </row>
    <row r="11">
      <c r="A11" s="5" t="inlineStr">
        <is>
          <t>Vouchers per day per company</t>
        </is>
      </c>
      <c r="B11" s="19" t="n">
        <v>100</v>
      </c>
      <c r="C11" s="9" t="inlineStr">
        <is>
          <t>Medium shop. Small is 30, large is 300.</t>
        </is>
      </c>
    </row>
    <row r="12">
      <c r="A12" s="5" t="inlineStr">
        <is>
          <t>History retained (years)</t>
        </is>
      </c>
      <c r="B12" s="19" t="n">
        <v>4</v>
      </c>
      <c r="C12" s="9" t="inlineStr">
        <is>
          <t>config.py: sync_max_history_years.</t>
        </is>
      </c>
    </row>
    <row r="13">
      <c r="A13" s="5" t="inlineStr">
        <is>
          <t>Inventory-line window (days)</t>
        </is>
      </c>
      <c r="B13" s="19" t="n">
        <v>400</v>
      </c>
      <c r="C13" s="9" t="inlineStr">
        <is>
          <t>config.py: sync_inventory_days.</t>
        </is>
      </c>
    </row>
    <row r="14">
      <c r="A14" s="5" t="inlineStr">
        <is>
          <t>Snapshot staleness (minutes)</t>
        </is>
      </c>
      <c r="B14" s="19" t="n">
        <v>15</v>
      </c>
      <c r="C14" s="9" t="inlineStr">
        <is>
          <t>config.py: snapshot_stale_after_seconds.</t>
        </is>
      </c>
    </row>
    <row r="15">
      <c r="A15" s="5" t="inlineStr">
        <is>
          <t>Delta sync interval (minutes)</t>
        </is>
      </c>
      <c r="B15" s="19" t="n">
        <v>5</v>
      </c>
      <c r="C15" s="9" t="inlineStr">
        <is>
          <t>config.py: sync_delta_interval_seconds.</t>
        </is>
      </c>
    </row>
    <row r="16">
      <c r="A16" s="5" t="inlineStr">
        <is>
          <t>Releases per year</t>
        </is>
      </c>
      <c r="B16" s="19" t="n">
        <v>6</v>
      </c>
      <c r="C16" s="9" t="inlineStr">
        <is>
          <t>Each one pushes 61.6 MB to every existing customer.</t>
        </is>
      </c>
    </row>
    <row r="18">
      <c r="A18" s="16" t="inlineStr">
        <is>
          <t>Fixed measurements taken from the repository</t>
        </is>
      </c>
    </row>
    <row r="19" ht="20" customHeight="1">
      <c r="A19" s="3" t="inlineStr">
        <is>
          <t>Measurement</t>
        </is>
      </c>
      <c r="B19" s="4" t="inlineStr">
        <is>
          <t>Value</t>
        </is>
      </c>
      <c r="C19" s="4" t="inlineStr">
        <is>
          <t>Where it comes from</t>
        </is>
      </c>
    </row>
    <row r="20">
      <c r="A20" s="5" t="inlineStr">
        <is>
          <t>Android APK size (MB)</t>
        </is>
      </c>
      <c r="B20" s="22" t="n">
        <v>23.6</v>
      </c>
      <c r="C20" s="9" t="inlineStr">
        <is>
          <t>deploy/uat/downloads/TallyFlow-0.1.0.apk</t>
        </is>
      </c>
    </row>
    <row r="21">
      <c r="A21" s="5" t="inlineStr">
        <is>
          <t>Connector installer size (MB)</t>
        </is>
      </c>
      <c r="B21" s="22" t="n">
        <v>38.1</v>
      </c>
      <c r="C21" s="9" t="inlineStr">
        <is>
          <t>deploy/uat/downloads/TallyFlowConnector-Setup-0.1.0.exe</t>
        </is>
      </c>
    </row>
    <row r="22">
      <c r="A22" s="5" t="inlineStr">
        <is>
          <t>Warm datasets refreshed</t>
        </is>
      </c>
      <c r="B22" s="23" t="n">
        <v>4</v>
      </c>
      <c r="C22" s="9" t="inlineStr">
        <is>
          <t>refresher.py WARM_DATASETS, less vouchers.list which the sync owns</t>
        </is>
      </c>
    </row>
    <row r="23">
      <c r="A23" s="5" t="inlineStr">
        <is>
          <t>Voucher JSON with inventory (KB)</t>
        </is>
      </c>
      <c r="B23" s="22" t="n">
        <v>2.5</v>
      </c>
      <c r="C23" s="9" t="inlineStr">
        <is>
          <t>Voucher plus ledger and inventory entries. Estimated.</t>
        </is>
      </c>
    </row>
    <row r="24">
      <c r="A24" s="5" t="inlineStr">
        <is>
          <t>Voucher JSON without lines (KB)</t>
        </is>
      </c>
      <c r="B24" s="22" t="n">
        <v>0.9</v>
      </c>
      <c r="C24" s="9" t="inlineStr">
        <is>
          <t>Slices older than the inventory window omit line items.</t>
        </is>
      </c>
    </row>
    <row r="25">
      <c r="A25" s="5" t="inlineStr">
        <is>
          <t>Index and row overhead</t>
        </is>
      </c>
      <c r="B25" s="24" t="n">
        <v>0.35</v>
      </c>
      <c r="C25" s="9" t="inlineStr">
        <is>
          <t>Postgres JSON plus four indexes on voucher_records.</t>
        </is>
      </c>
    </row>
    <row r="26">
      <c r="A26" s="5" t="inlineStr">
        <is>
          <t>App egress per org (GB/month)</t>
        </is>
      </c>
      <c r="B26" s="22" t="n">
        <v>0.5</v>
      </c>
      <c r="C26" s="9" t="inlineStr">
        <is>
          <t>Backend to phones. Snapshot DTOs are small.</t>
        </is>
      </c>
    </row>
    <row r="27">
      <c r="A27" s="5" t="inlineStr">
        <is>
          <t>Audited requests per user per day</t>
        </is>
      </c>
      <c r="B27" s="23" t="n">
        <v>150</v>
      </c>
      <c r="C27" s="9" t="inlineStr">
        <is>
          <t>One audit_logs row per request.</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40" customWidth="1" min="1" max="1"/>
    <col width="17" customWidth="1" min="2" max="2"/>
    <col width="17" customWidth="1" min="3" max="3"/>
    <col width="17" customWidth="1" min="4" max="4"/>
    <col width="52" customWidth="1" min="5" max="5"/>
  </cols>
  <sheetData>
    <row r="1" ht="22" customHeight="1">
      <c r="A1" s="1" t="inlineStr">
        <is>
          <t>Sizing model</t>
        </is>
      </c>
    </row>
    <row r="2">
      <c r="A2" s="2" t="inlineStr">
        <is>
          <t>Derived from the assumptions. This is what decides the server and database tier.</t>
        </is>
      </c>
    </row>
    <row r="4" ht="20" customHeight="1">
      <c r="A4" s="3" t="inlineStr">
        <is>
          <t>Per company</t>
        </is>
      </c>
      <c r="B4" s="4" t="inlineStr">
        <is>
          <t>Small 30/day</t>
        </is>
      </c>
      <c r="C4" s="4" t="inlineStr">
        <is>
          <t>Medium 100/day</t>
        </is>
      </c>
      <c r="D4" s="4" t="inlineStr">
        <is>
          <t>Large 300/day</t>
        </is>
      </c>
      <c r="E4" s="4" t="inlineStr">
        <is>
          <t>Note</t>
        </is>
      </c>
    </row>
    <row r="5">
      <c r="A5" s="5" t="inlineStr">
        <is>
          <t>Vouchers per day</t>
        </is>
      </c>
      <c r="B5" s="15" t="n">
        <v>30</v>
      </c>
      <c r="C5" s="15" t="n">
        <v>100</v>
      </c>
      <c r="D5" s="15" t="n">
        <v>300</v>
      </c>
      <c r="E5" s="9" t="inlineStr">
        <is>
          <t>Posted transactions of all types</t>
        </is>
      </c>
    </row>
    <row r="6">
      <c r="A6" s="5" t="inlineStr">
        <is>
          <t>Vouchers stored</t>
        </is>
      </c>
      <c r="B6" s="15">
        <f>B5*365*Assumptions!$B$12</f>
        <v/>
      </c>
      <c r="C6" s="15">
        <f>C5*365*Assumptions!$B$12</f>
        <v/>
      </c>
      <c r="D6" s="15">
        <f>D5*365*Assumptions!$B$12</f>
        <v/>
      </c>
      <c r="E6" s="9" t="inlineStr">
        <is>
          <t>voucher_records keeps one row per voucher</t>
        </is>
      </c>
    </row>
    <row r="7">
      <c r="A7" s="5" t="inlineStr">
        <is>
          <t>of which carry inventory lines</t>
        </is>
      </c>
      <c r="B7" s="15">
        <f>B5*Assumptions!$B$13</f>
        <v/>
      </c>
      <c r="C7" s="15">
        <f>C5*Assumptions!$B$13</f>
        <v/>
      </c>
      <c r="D7" s="15">
        <f>D5*Assumptions!$B$13</f>
        <v/>
      </c>
      <c r="E7" s="9" t="inlineStr">
        <is>
          <t>Older slices omit line items by design</t>
        </is>
      </c>
    </row>
    <row r="8">
      <c r="A8" s="5" t="inlineStr">
        <is>
          <t>Voucher storage</t>
        </is>
      </c>
      <c r="B8" s="25">
        <f>((B7*Assumptions!$B$23)+((B6-B7)*Assumptions!$B$24))/1024*(1+Assumptions!$B$25)</f>
        <v/>
      </c>
      <c r="C8" s="25">
        <f>((C7*Assumptions!$B$23)+((C6-C7)*Assumptions!$B$24))/1024*(1+Assumptions!$B$25)</f>
        <v/>
      </c>
      <c r="D8" s="25">
        <f>((D7*Assumptions!$B$23)+((D6-D7)*Assumptions!$B$24))/1024*(1+Assumptions!$B$25)</f>
        <v/>
      </c>
      <c r="E8" s="9" t="inlineStr">
        <is>
          <t>Includes index and row overhead</t>
        </is>
      </c>
    </row>
    <row r="9">
      <c r="A9" s="5" t="inlineStr">
        <is>
          <t>Snapshots (five datasets)</t>
        </is>
      </c>
      <c r="B9" s="25" t="n">
        <v>3</v>
      </c>
      <c r="C9" s="25" t="n">
        <v>5</v>
      </c>
      <c r="D9" s="25" t="n">
        <v>12</v>
      </c>
      <c r="E9" s="9" t="inlineStr">
        <is>
          <t>Stock items and outstanding bills dominate</t>
        </is>
      </c>
    </row>
    <row r="10">
      <c r="A10" s="5" t="inlineStr">
        <is>
          <t>job_stats, one year, unpruned</t>
        </is>
      </c>
      <c r="B10" s="25">
        <f>(Assumptions!$B$22*60/Assumptions!$B$14+60/Assumptions!$B$15)*24*365*0.2/1024</f>
        <v/>
      </c>
      <c r="C10" s="25">
        <f>(Assumptions!$B$22*60/Assumptions!$B$14+60/Assumptions!$B$15)*24*365*0.2/1024</f>
        <v/>
      </c>
      <c r="D10" s="25">
        <f>(Assumptions!$B$22*60/Assumptions!$B$14+60/Assumptions!$B$15)*24*365*0.2/1024</f>
        <v/>
      </c>
      <c r="E10" s="9" t="inlineStr">
        <is>
          <t>One row per connector job. NOTHING DELETES THIS.</t>
        </is>
      </c>
    </row>
    <row r="11">
      <c r="A11" s="10" t="inlineStr">
        <is>
          <t>Total per company</t>
        </is>
      </c>
      <c r="B11" s="26">
        <f>SUM(B8:B10)</f>
        <v/>
      </c>
      <c r="C11" s="26">
        <f>SUM(C8:C10)</f>
        <v/>
      </c>
      <c r="D11" s="26">
        <f>SUM(D8:D10)</f>
        <v/>
      </c>
      <c r="E11" s="14" t="inlineStr">
        <is>
          <t>The planning figure</t>
        </is>
      </c>
    </row>
    <row r="13">
      <c r="A13" s="16" t="inlineStr">
        <is>
          <t>At the assumed scale</t>
        </is>
      </c>
    </row>
    <row r="14" ht="20" customHeight="1">
      <c r="A14" s="3" t="inlineStr">
        <is>
          <t>Fleet total</t>
        </is>
      </c>
      <c r="B14" s="4" t="inlineStr">
        <is>
          <t>Value</t>
        </is>
      </c>
      <c r="C14" s="4" t="inlineStr"/>
      <c r="D14" s="4" t="inlineStr"/>
      <c r="E14" s="4" t="inlineStr">
        <is>
          <t>Note</t>
        </is>
      </c>
    </row>
    <row r="15">
      <c r="A15" s="5" t="inlineStr">
        <is>
          <t>Companies under management</t>
        </is>
      </c>
      <c r="B15" s="15">
        <f>Assumptions!$B$8*Assumptions!$B$9</f>
        <v/>
      </c>
      <c r="C15" s="8" t="inlineStr"/>
      <c r="D15" s="8" t="inlineStr"/>
      <c r="E15" s="9" t="inlineStr">
        <is>
          <t>organisations x companies per org</t>
        </is>
      </c>
    </row>
    <row r="16">
      <c r="A16" s="5" t="inlineStr">
        <is>
          <t>Connector round-trips per hour</t>
        </is>
      </c>
      <c r="B16" s="15">
        <f>B15*(Assumptions!$B$22*60/Assumptions!$B$14+60/Assumptions!$B$15)</f>
        <v/>
      </c>
      <c r="C16" s="8" t="inlineStr"/>
      <c r="D16" s="8" t="inlineStr"/>
      <c r="E16" s="9" t="inlineStr">
        <is>
          <t>Warm refresh plus delta sync</t>
        </is>
      </c>
    </row>
    <row r="17">
      <c r="A17" s="5" t="inlineStr">
        <is>
          <t>Connector round-trips per second</t>
        </is>
      </c>
      <c r="B17" s="27">
        <f>B16/3600</f>
        <v/>
      </c>
      <c r="C17" s="8" t="inlineStr"/>
      <c r="D17" s="8" t="inlineStr"/>
      <c r="E17" s="9" t="inlineStr">
        <is>
          <t>Trivial as request count. Parsing the responses is the real limit.</t>
        </is>
      </c>
    </row>
    <row r="18">
      <c r="A18" s="10" t="inlineStr">
        <is>
          <t>Database size (medium blend)</t>
        </is>
      </c>
      <c r="B18" s="28">
        <f>B15*C11/1024</f>
        <v/>
      </c>
      <c r="C18" s="13" t="inlineStr"/>
      <c r="D18" s="13" t="inlineStr"/>
      <c r="E18" s="14" t="inlineStr">
        <is>
          <t>Choose the database tier from this</t>
        </is>
      </c>
    </row>
    <row r="19">
      <c r="A19" s="5" t="inlineStr">
        <is>
          <t>audit_logs growth per year</t>
        </is>
      </c>
      <c r="B19" s="29">
        <f>Assumptions!$B$8*Assumptions!$B$10*Assumptions!$B$27*365*0.4/1024/1024</f>
        <v/>
      </c>
      <c r="C19" s="8" t="inlineStr"/>
      <c r="D19" s="8" t="inlineStr"/>
      <c r="E19" s="9" t="inlineStr">
        <is>
          <t>One row per request. NOTHING DELETES THIS EITHER.</t>
        </is>
      </c>
    </row>
    <row r="20">
      <c r="A20" s="5" t="inlineStr">
        <is>
          <t>App egress per month</t>
        </is>
      </c>
      <c r="B20" s="29">
        <f>Assumptions!$B$8*Assumptions!$B$26</f>
        <v/>
      </c>
      <c r="C20" s="8" t="inlineStr"/>
      <c r="D20" s="8" t="inlineStr"/>
      <c r="E20" s="9" t="inlineStr">
        <is>
          <t>Backend to phones</t>
        </is>
      </c>
    </row>
    <row r="21">
      <c r="A21" s="5" t="inlineStr">
        <is>
          <t>Download egress per month</t>
        </is>
      </c>
      <c r="B21" s="29">
        <f>(Assumptions!$B$8*(Assumptions!$B$20+Assumptions!$B$21)*Assumptions!$B$16/12)/1024</f>
        <v/>
      </c>
      <c r="C21" s="8" t="inlineStr"/>
      <c r="D21" s="8" t="inlineStr"/>
      <c r="E21" s="9" t="inlineStr">
        <is>
          <t>Updates pushed to the existing fleet</t>
        </is>
      </c>
    </row>
    <row r="22">
      <c r="A22" s="10" t="inlineStr">
        <is>
          <t>Total egress per month</t>
        </is>
      </c>
      <c r="B22" s="28">
        <f>SUM(B20:B21)</f>
        <v/>
      </c>
      <c r="C22" s="13" t="inlineStr"/>
      <c r="D22" s="13" t="inlineStr"/>
      <c r="E22" s="14" t="inlineStr">
        <is>
          <t>Inbound from connectors is free on every option costed here</t>
        </is>
      </c>
    </row>
    <row r="24">
      <c r="A24" s="16" t="inlineStr">
        <is>
          <t>Scaling limit</t>
        </is>
      </c>
    </row>
    <row r="25">
      <c r="A25" s="18" t="inlineStr">
        <is>
          <t>•  The backend runs ONE uvicorn worker. Connectors hold long-lived WebSockets to a specific process, so forks would each hold a different set of sockets with no way to route between them.</t>
        </is>
      </c>
    </row>
    <row r="26">
      <c r="A26" s="18" t="inlineStr">
        <is>
          <t>•  The ceiling is not request count, it is response parsing. stock_items.list revalidated four times an hour per company is roughly 2,800 pydantic model validations per second at 500 companies, which saturates a single Python process.</t>
        </is>
      </c>
    </row>
    <row r="27">
      <c r="A27" s="18" t="inlineStr">
        <is>
          <t>•  Practical ceiling for one instance: 150 to 300 active companies. Beyond that you add containers and a Redis, which is a step change in cost rather than a slope.</t>
        </is>
      </c>
    </row>
  </sheetData>
  <mergeCells count="5">
    <mergeCell ref="A26:E26"/>
    <mergeCell ref="A2:E2"/>
    <mergeCell ref="A25:E25"/>
    <mergeCell ref="A1:E1"/>
    <mergeCell ref="A27:E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4" customWidth="1" min="5" max="5"/>
    <col width="46" customWidth="1" min="6" max="6"/>
  </cols>
  <sheetData>
    <row r="1" ht="22" customHeight="1">
      <c r="A1" s="1" t="inlineStr">
        <is>
          <t>Monthly cost by option</t>
        </is>
      </c>
    </row>
    <row r="2">
      <c r="A2" s="2" t="inlineStr">
        <is>
          <t>Provider list prices verified August 2026. Shaded rows are totals.</t>
        </is>
      </c>
    </row>
    <row r="4">
      <c r="A4" s="16" t="inlineStr">
        <is>
          <t>Option A - Hetzner single box (runs deploy/uat/docker-compose.yml unchanged)</t>
        </is>
      </c>
    </row>
    <row r="5" ht="20" customHeight="1">
      <c r="A5" s="3" t="inlineStr">
        <is>
          <t>Line item</t>
        </is>
      </c>
      <c r="B5" s="4" t="inlineStr">
        <is>
          <t>EUR</t>
        </is>
      </c>
      <c r="C5" s="4" t="inlineStr">
        <is>
          <t>INR</t>
        </is>
      </c>
      <c r="D5" s="4" t="inlineStr"/>
      <c r="E5" s="4" t="inlineStr"/>
      <c r="F5" s="4" t="inlineStr">
        <is>
          <t>Note</t>
        </is>
      </c>
    </row>
    <row r="6">
      <c r="A6" s="5" t="inlineStr">
        <is>
          <t>CX33 - 4 vCPU / 8 GB / 80 GB NVMe / 20 TB</t>
        </is>
      </c>
      <c r="B6" s="30" t="n">
        <v>8.49</v>
      </c>
      <c r="C6" s="6">
        <f>B6*Assumptions!$B$6</f>
        <v/>
      </c>
      <c r="D6" s="8" t="inlineStr"/>
      <c r="E6" s="8" t="inlineStr"/>
      <c r="F6" s="9" t="inlineStr">
        <is>
          <t>Germany or Finland. Not Singapore - see note below.</t>
        </is>
      </c>
    </row>
    <row r="7">
      <c r="A7" s="5" t="inlineStr">
        <is>
          <t>IPv4 address</t>
        </is>
      </c>
      <c r="B7" s="30" t="n">
        <v>0.5</v>
      </c>
      <c r="C7" s="6">
        <f>B7*Assumptions!$B$6</f>
        <v/>
      </c>
      <c r="D7" s="8" t="inlineStr"/>
      <c r="E7" s="8" t="inlineStr"/>
      <c r="F7" s="9" t="inlineStr"/>
    </row>
    <row r="8">
      <c r="A8" s="5" t="inlineStr">
        <is>
          <t>Server backups (20% of server)</t>
        </is>
      </c>
      <c r="B8" s="30">
        <f>B6*0.2</f>
        <v/>
      </c>
      <c r="C8" s="6">
        <f>B8*Assumptions!$B$6</f>
        <v/>
      </c>
      <c r="D8" s="8" t="inlineStr"/>
      <c r="E8" s="8" t="inlineStr"/>
      <c r="F8" s="9" t="inlineStr">
        <is>
          <t>Hetzner automated snapshots</t>
        </is>
      </c>
    </row>
    <row r="9">
      <c r="A9" s="5" t="inlineStr">
        <is>
          <t>Off-site database dumps (Backblaze B2)</t>
        </is>
      </c>
      <c r="B9" s="30" t="n">
        <v>0.1</v>
      </c>
      <c r="C9" s="6">
        <f>B9*Assumptions!$B$6</f>
        <v/>
      </c>
      <c r="D9" s="8" t="inlineStr"/>
      <c r="E9" s="8" t="inlineStr"/>
      <c r="F9" s="9" t="inlineStr">
        <is>
          <t>Never keep the only backup on the same host</t>
        </is>
      </c>
    </row>
    <row r="10">
      <c r="A10" s="5" t="inlineStr">
        <is>
          <t>Block storage beyond the included 80 GB</t>
        </is>
      </c>
      <c r="B10" s="30">
        <f>MAX(0,'Sizing model'!B18-80)*0.05</f>
        <v/>
      </c>
      <c r="C10" s="6">
        <f>B10*Assumptions!$B$6</f>
        <v/>
      </c>
      <c r="D10" s="8" t="inlineStr"/>
      <c r="E10" s="8" t="inlineStr"/>
      <c r="F10" s="9" t="inlineStr">
        <is>
          <t>About EUR 0.05/GB/month. Starts to bite around 250 companies.</t>
        </is>
      </c>
    </row>
    <row r="11">
      <c r="A11" s="5" t="inlineStr">
        <is>
          <t>Domain (.in, amortised)</t>
        </is>
      </c>
      <c r="B11" s="30" t="n">
        <v>1</v>
      </c>
      <c r="C11" s="6">
        <f>B11*Assumptions!$B$6</f>
        <v/>
      </c>
      <c r="D11" s="8" t="inlineStr"/>
      <c r="E11" s="8" t="inlineStr"/>
      <c r="F11" s="9" t="inlineStr">
        <is>
          <t>TLS is free - Caddy plus Let's Encrypt is already wired</t>
        </is>
      </c>
    </row>
    <row r="12">
      <c r="A12" s="10" t="inlineStr">
        <is>
          <t>Total</t>
        </is>
      </c>
      <c r="B12" s="31">
        <f>SUM(B6:B11)</f>
        <v/>
      </c>
      <c r="C12" s="11">
        <f>SUM(C6:C11)</f>
        <v/>
      </c>
      <c r="D12" s="13" t="inlineStr"/>
      <c r="E12" s="13" t="inlineStr"/>
      <c r="F12" s="14" t="inlineStr">
        <is>
          <t>No GST - billed from Germany</t>
        </is>
      </c>
    </row>
    <row r="15">
      <c r="A15" s="16" t="inlineStr">
        <is>
          <t>Option B - DigitalOcean Bangalore with managed Postgres  (recommended for production)</t>
        </is>
      </c>
    </row>
    <row r="16" ht="20" customHeight="1">
      <c r="A16" s="3" t="inlineStr">
        <is>
          <t>Line item</t>
        </is>
      </c>
      <c r="B16" s="4" t="inlineStr">
        <is>
          <t>Pilot ~25 orgs</t>
        </is>
      </c>
      <c r="C16" s="4" t="inlineStr">
        <is>
          <t>~100 orgs</t>
        </is>
      </c>
      <c r="D16" s="4" t="inlineStr">
        <is>
          <t>~500 orgs</t>
        </is>
      </c>
      <c r="E16" s="4" t="inlineStr"/>
      <c r="F16" s="4" t="inlineStr">
        <is>
          <t>Note</t>
        </is>
      </c>
    </row>
    <row r="17">
      <c r="A17" s="5" t="inlineStr">
        <is>
          <t>Droplet - API, Caddy, website, portal</t>
        </is>
      </c>
      <c r="B17" s="32" t="n">
        <v>24</v>
      </c>
      <c r="C17" s="32" t="n">
        <v>48</v>
      </c>
      <c r="D17" s="32" t="n">
        <v>96</v>
      </c>
      <c r="E17" s="8" t="inlineStr"/>
      <c r="F17" s="9" t="inlineStr">
        <is>
          <t>2 vCPU/4 GB, then 4 vCPU/8 GB, then two of them</t>
        </is>
      </c>
    </row>
    <row r="18">
      <c r="A18" s="5" t="inlineStr">
        <is>
          <t>Managed PostgreSQL</t>
        </is>
      </c>
      <c r="B18" s="32" t="n">
        <v>30.45</v>
      </c>
      <c r="C18" s="32" t="n">
        <v>60.9</v>
      </c>
      <c r="D18" s="32" t="n">
        <v>122.1</v>
      </c>
      <c r="E18" s="8" t="inlineStr"/>
      <c r="F18" s="9" t="inlineStr">
        <is>
          <t>2 GiB, then 4 GiB, then 8 GiB. Storage I/O is included, no IOPS fees.</t>
        </is>
      </c>
    </row>
    <row r="19">
      <c r="A19" s="5" t="inlineStr">
        <is>
          <t>Managed Redis / Valkey</t>
        </is>
      </c>
      <c r="B19" s="32" t="n">
        <v>0</v>
      </c>
      <c r="C19" s="32" t="n">
        <v>0</v>
      </c>
      <c r="D19" s="32" t="n">
        <v>15</v>
      </c>
      <c r="E19" s="8" t="inlineStr"/>
      <c r="F19" s="9" t="inlineStr">
        <is>
          <t>Only needed once there is a second API container</t>
        </is>
      </c>
    </row>
    <row r="20">
      <c r="A20" s="5" t="inlineStr">
        <is>
          <t>Spaces - downloads and CDN</t>
        </is>
      </c>
      <c r="B20" s="32" t="n">
        <v>5</v>
      </c>
      <c r="C20" s="32" t="n">
        <v>5</v>
      </c>
      <c r="D20" s="32" t="n">
        <v>5</v>
      </c>
      <c r="E20" s="8" t="inlineStr"/>
      <c r="F20" s="9" t="inlineStr">
        <is>
          <t>250 GB storage and 1 TB transfer included</t>
        </is>
      </c>
    </row>
    <row r="21">
      <c r="A21" s="5" t="inlineStr">
        <is>
          <t>Droplet backups (20%)</t>
        </is>
      </c>
      <c r="B21" s="32">
        <f>B17*0.2</f>
        <v/>
      </c>
      <c r="C21" s="32">
        <f>C17*0.2</f>
        <v/>
      </c>
      <c r="D21" s="32">
        <f>D17*0.2</f>
        <v/>
      </c>
      <c r="E21" s="8" t="inlineStr"/>
      <c r="F21" s="9" t="inlineStr"/>
    </row>
    <row r="22">
      <c r="A22" s="33" t="inlineStr">
        <is>
          <t>Subtotal (USD)</t>
        </is>
      </c>
      <c r="B22" s="34">
        <f>SUM(B17:B21)</f>
        <v/>
      </c>
      <c r="C22" s="34">
        <f>SUM(C17:C21)</f>
        <v/>
      </c>
      <c r="D22" s="34">
        <f>SUM(D17:D21)</f>
        <v/>
      </c>
      <c r="E22" s="35" t="inlineStr"/>
      <c r="F22" s="9" t="inlineStr"/>
    </row>
    <row r="23">
      <c r="A23" s="5" t="inlineStr">
        <is>
          <t>GST</t>
        </is>
      </c>
      <c r="B23" s="32">
        <f>B22*Assumptions!$B$7</f>
        <v/>
      </c>
      <c r="C23" s="32">
        <f>C22*Assumptions!$B$7</f>
        <v/>
      </c>
      <c r="D23" s="32">
        <f>D22*Assumptions!$B$7</f>
        <v/>
      </c>
      <c r="E23" s="8" t="inlineStr"/>
      <c r="F23" s="9" t="inlineStr">
        <is>
          <t>If billed to an Indian entity</t>
        </is>
      </c>
    </row>
    <row r="24">
      <c r="A24" s="10" t="inlineStr">
        <is>
          <t>Total (USD incl. GST)</t>
        </is>
      </c>
      <c r="B24" s="36">
        <f>B22+B23</f>
        <v/>
      </c>
      <c r="C24" s="36">
        <f>C22+C23</f>
        <v/>
      </c>
      <c r="D24" s="36">
        <f>D22+D23</f>
        <v/>
      </c>
      <c r="E24" s="13" t="inlineStr"/>
      <c r="F24" s="14" t="inlineStr"/>
    </row>
    <row r="25">
      <c r="A25" s="10" t="inlineStr">
        <is>
          <t>Total (INR incl. GST)</t>
        </is>
      </c>
      <c r="B25" s="11">
        <f>B24*Assumptions!$B$5</f>
        <v/>
      </c>
      <c r="C25" s="11">
        <f>C24*Assumptions!$B$5</f>
        <v/>
      </c>
      <c r="D25" s="11">
        <f>D24*Assumptions!$B$5</f>
        <v/>
      </c>
      <c r="E25" s="13" t="inlineStr"/>
      <c r="F25" s="14" t="inlineStr"/>
    </row>
    <row r="28">
      <c r="A28" s="16" t="inlineStr">
        <is>
          <t>Option C - AWS Mumbai (indicative band, not a line-verified quote)</t>
        </is>
      </c>
    </row>
    <row r="29" ht="20" customHeight="1">
      <c r="A29" s="3" t="inlineStr">
        <is>
          <t>Line item</t>
        </is>
      </c>
      <c r="B29" s="4" t="inlineStr">
        <is>
          <t>Low USD</t>
        </is>
      </c>
      <c r="C29" s="4" t="inlineStr">
        <is>
          <t>High USD</t>
        </is>
      </c>
      <c r="D29" s="4" t="inlineStr"/>
      <c r="E29" s="4" t="inlineStr"/>
      <c r="F29" s="4" t="inlineStr">
        <is>
          <t>Note</t>
        </is>
      </c>
    </row>
    <row r="30">
      <c r="A30" s="5" t="inlineStr">
        <is>
          <t>EC2 t4g.medium</t>
        </is>
      </c>
      <c r="B30" s="32" t="n">
        <v>16</v>
      </c>
      <c r="C30" s="32" t="n">
        <v>25</v>
      </c>
      <c r="D30" s="8" t="inlineStr"/>
      <c r="E30" s="8" t="inlineStr"/>
      <c r="F30" s="9" t="inlineStr">
        <is>
          <t>ap-south-1 on-demand</t>
        </is>
      </c>
    </row>
    <row r="31">
      <c r="A31" s="5" t="inlineStr">
        <is>
          <t>RDS PostgreSQL db.t4g.medium, Multi-AZ</t>
        </is>
      </c>
      <c r="B31" s="32" t="n">
        <v>95</v>
      </c>
      <c r="C31" s="32" t="n">
        <v>120</v>
      </c>
      <c r="D31" s="8" t="inlineStr"/>
      <c r="E31" s="8" t="inlineStr"/>
      <c r="F31" s="9" t="inlineStr">
        <is>
          <t>Mumbai carries a premium over us-east-1</t>
        </is>
      </c>
    </row>
    <row r="32">
      <c r="A32" s="5" t="inlineStr">
        <is>
          <t>Application Load Balancer</t>
        </is>
      </c>
      <c r="B32" s="32" t="n">
        <v>20</v>
      </c>
      <c r="C32" s="32" t="n">
        <v>25</v>
      </c>
      <c r="D32" s="8" t="inlineStr"/>
      <c r="E32" s="8" t="inlineStr"/>
      <c r="F32" s="9" t="inlineStr">
        <is>
          <t>Needed to terminate TLS and WebSockets</t>
        </is>
      </c>
    </row>
    <row r="33">
      <c r="A33" s="5" t="inlineStr">
        <is>
          <t>EBS, snapshots, CloudWatch</t>
        </is>
      </c>
      <c r="B33" s="32" t="n">
        <v>25</v>
      </c>
      <c r="C33" s="32" t="n">
        <v>45</v>
      </c>
      <c r="D33" s="8" t="inlineStr"/>
      <c r="E33" s="8" t="inlineStr"/>
      <c r="F33" s="9" t="inlineStr"/>
    </row>
    <row r="34">
      <c r="A34" s="5" t="inlineStr">
        <is>
          <t>Egress (metered)</t>
        </is>
      </c>
      <c r="B34" s="32">
        <f>'Sizing model'!B22*0.109</f>
        <v/>
      </c>
      <c r="C34" s="32">
        <f>'Sizing model'!B22*0.109</f>
        <v/>
      </c>
      <c r="D34" s="8" t="inlineStr"/>
      <c r="E34" s="8" t="inlineStr"/>
      <c r="F34" s="9" t="inlineStr">
        <is>
          <t>About $0.109/GB. The only option here that meters this.</t>
        </is>
      </c>
    </row>
    <row r="35">
      <c r="A35" s="33" t="inlineStr">
        <is>
          <t>Subtotal (USD)</t>
        </is>
      </c>
      <c r="B35" s="34">
        <f>SUM(B30:B34)</f>
        <v/>
      </c>
      <c r="C35" s="34">
        <f>SUM(C30:C34)</f>
        <v/>
      </c>
      <c r="D35" s="35" t="inlineStr"/>
      <c r="E35" s="35" t="inlineStr"/>
      <c r="F35" s="9" t="inlineStr"/>
    </row>
    <row r="36">
      <c r="A36" s="10" t="inlineStr">
        <is>
          <t>Total (INR incl. GST)</t>
        </is>
      </c>
      <c r="B36" s="11">
        <f>B35*(1+Assumptions!$B$7)*Assumptions!$B$5</f>
        <v/>
      </c>
      <c r="C36" s="11">
        <f>C35*(1+Assumptions!$B$7)*Assumptions!$B$5</f>
        <v/>
      </c>
      <c r="D36" s="13" t="inlineStr"/>
      <c r="E36" s="13" t="inlineStr"/>
      <c r="F36" s="14" t="inlineStr">
        <is>
          <t>Roughly three times Option B for the same capacity</t>
        </is>
      </c>
    </row>
    <row r="39">
      <c r="A39" s="16" t="inlineStr">
        <is>
          <t>Regional warning</t>
        </is>
      </c>
    </row>
    <row r="40">
      <c r="A40" s="18" t="inlineStr">
        <is>
          <t>•  On Hetzner, pick Germany or Finland. The Singapore region includes only 0.5 TB of traffic and charges EUR 7.40 per extra TB, against 20 TB included and EUR 1 per TB in the EU. Germany to India adds about 130 ms, which does not matter here because the phone reads stored snapshots rather than live Tally.</t>
        </is>
      </c>
    </row>
  </sheetData>
  <mergeCells count="3">
    <mergeCell ref="A2:F2"/>
    <mergeCell ref="A1:F1"/>
    <mergeCell ref="A40:F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8" customWidth="1" min="3" max="3"/>
    <col width="56" customWidth="1" min="4" max="4"/>
  </cols>
  <sheetData>
    <row r="1" ht="22" customHeight="1">
      <c r="A1" s="1" t="inlineStr">
        <is>
          <t>Costs outside the server bill</t>
        </is>
      </c>
    </row>
    <row r="2">
      <c r="A2" s="2" t="inlineStr">
        <is>
          <t>The monthly column is amortised into the Summary sheet.</t>
        </is>
      </c>
    </row>
    <row r="4" ht="20" customHeight="1">
      <c r="A4" s="3" t="inlineStr">
        <is>
          <t>Item</t>
        </is>
      </c>
      <c r="B4" s="4" t="inlineStr">
        <is>
          <t>Per year (INR)</t>
        </is>
      </c>
      <c r="C4" s="4" t="inlineStr">
        <is>
          <t>Per month (INR)</t>
        </is>
      </c>
      <c r="D4" s="4" t="inlineStr">
        <is>
          <t>Note</t>
        </is>
      </c>
    </row>
    <row r="5" ht="34" customHeight="1">
      <c r="A5" s="5" t="inlineStr">
        <is>
          <t>Domain (.in)</t>
        </is>
      </c>
      <c r="B5" s="6" t="n">
        <v>1000</v>
      </c>
      <c r="C5" s="6">
        <f>B5/12</f>
        <v/>
      </c>
      <c r="D5" s="37" t="inlineStr">
        <is>
          <t>Renew annually. TLS is free through Caddy and Let's Encrypt.</t>
        </is>
      </c>
    </row>
    <row r="6" ht="34" customHeight="1">
      <c r="A6" s="5" t="inlineStr">
        <is>
          <t>Code-signing certificate (OV)</t>
        </is>
      </c>
      <c r="B6" s="6" t="n">
        <v>30000</v>
      </c>
      <c r="C6" s="6">
        <f>B6/12</f>
        <v/>
      </c>
      <c r="D6" s="37" t="inlineStr">
        <is>
          <t>Recommended. Without it SmartScreen warns every customer who downloads the connector. OV certificates now require a hardware token or HSM, which is why this is not an 80-dollar line any more.</t>
        </is>
      </c>
    </row>
    <row r="7" ht="34" customHeight="1">
      <c r="A7" s="5" t="inlineStr">
        <is>
          <t>Google Play / App Store</t>
        </is>
      </c>
      <c r="B7" s="6" t="n">
        <v>0</v>
      </c>
      <c r="C7" s="6">
        <f>B7/12</f>
        <v/>
      </c>
      <c r="D7" s="37" t="inlineStr">
        <is>
          <t>Not applicable - you distribute the APK yourself. That decision is also why download bandwidth sits on your own bill.</t>
        </is>
      </c>
    </row>
    <row r="8" ht="34" customHeight="1">
      <c r="A8" s="5" t="inlineStr">
        <is>
          <t>Monitoring / APM</t>
        </is>
      </c>
      <c r="B8" s="6" t="n">
        <v>0</v>
      </c>
      <c r="C8" s="6">
        <f>B8/12</f>
        <v/>
      </c>
      <c r="D8" s="37" t="inlineStr">
        <is>
          <t>The portal's own log surfaces already answer 'why did it stop working for this customer' - server_logs, connector log_batch and the SSE tail.</t>
        </is>
      </c>
    </row>
    <row r="9" ht="34" customHeight="1">
      <c r="A9" s="5" t="inlineStr">
        <is>
          <t>Transactional email</t>
        </is>
      </c>
      <c r="B9" s="6" t="n">
        <v>0</v>
      </c>
      <c r="C9" s="6">
        <f>B9/12</f>
        <v/>
      </c>
      <c r="D9" s="37" t="inlineStr">
        <is>
          <t>No SMTP or email provider is wired in. Verified by grep across apps/backend.</t>
        </is>
      </c>
    </row>
    <row r="10" ht="34" customHeight="1">
      <c r="A10" s="5" t="inlineStr">
        <is>
          <t>Object storage / CDN</t>
        </is>
      </c>
      <c r="B10" s="6" t="n">
        <v>0</v>
      </c>
      <c r="C10" s="6">
        <f>B10/12</f>
        <v/>
      </c>
      <c r="D10" s="37" t="inlineStr">
        <is>
          <t>Already inside the option above - Spaces on DigitalOcean, or Caddy serving /downloads on Hetzner.</t>
        </is>
      </c>
    </row>
    <row r="11">
      <c r="A11" s="10" t="inlineStr">
        <is>
          <t>Total</t>
        </is>
      </c>
      <c r="B11" s="11">
        <f>SUM(B5:B10)</f>
        <v/>
      </c>
      <c r="C11" s="11">
        <f>SUM(C5:C10)</f>
        <v/>
      </c>
      <c r="D11" s="14" t="inlineStr"/>
    </row>
    <row r="14">
      <c r="A14" s="16" t="inlineStr">
        <is>
          <t>One-time, non-recurring</t>
        </is>
      </c>
    </row>
    <row r="15" ht="20" customHeight="1">
      <c r="A15" s="3" t="inlineStr">
        <is>
          <t>Item</t>
        </is>
      </c>
      <c r="B15" s="4" t="inlineStr">
        <is>
          <t>INR</t>
        </is>
      </c>
      <c r="C15" s="4" t="inlineStr"/>
      <c r="D15" s="4" t="inlineStr">
        <is>
          <t>Note</t>
        </is>
      </c>
    </row>
    <row r="16">
      <c r="A16" s="5" t="inlineStr">
        <is>
          <t>Initial backfill bandwidth</t>
        </is>
      </c>
      <c r="B16" s="6" t="n">
        <v>0</v>
      </c>
      <c r="C16" s="8" t="inlineStr"/>
      <c r="D16" s="9" t="inlineStr">
        <is>
          <t>50 to 150 MB per company, inbound. Free on every provider costed here.</t>
        </is>
      </c>
    </row>
    <row r="17">
      <c r="A17" s="5" t="inlineStr">
        <is>
          <t>Migration and setup labour</t>
        </is>
      </c>
      <c r="B17" s="6" t="n">
        <v>0</v>
      </c>
      <c r="C17" s="8" t="inlineStr"/>
      <c r="D17" s="9" t="inlineStr">
        <is>
          <t>run.py handles it and DEPLOYMENT.md is the runbook. Cost is your time, not cash.</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2026-08-22T05:58:56Z</dcterms:created>
  <dcterms:modified xsi:type="dcterms:W3CDTF">2026-08-22T05:58:56Z</dcterms:modified>
</cp:coreProperties>
</file>